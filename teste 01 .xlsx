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f058a182b85c5af/Área de Trabalho/"/>
    </mc:Choice>
  </mc:AlternateContent>
  <xr:revisionPtr revIDLastSave="6" documentId="11_AED7FA443B7FC9664643A139D4E50A8A0431B7F9" xr6:coauthVersionLast="47" xr6:coauthVersionMax="47" xr10:uidLastSave="{A19F68A0-6D3F-4CA1-9078-A7AEB28A68AE}"/>
  <bookViews>
    <workbookView xWindow="-108" yWindow="-108" windowWidth="23256" windowHeight="12456" xr2:uid="{00000000-000D-0000-FFFF-FFFF00000000}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</calcChain>
</file>

<file path=xl/sharedStrings.xml><?xml version="1.0" encoding="utf-8"?>
<sst xmlns="http://schemas.openxmlformats.org/spreadsheetml/2006/main" count="151" uniqueCount="134">
  <si>
    <t xml:space="preserve">Empresa: </t>
  </si>
  <si>
    <t xml:space="preserve">Fibertech </t>
  </si>
  <si>
    <t>Endereço:</t>
  </si>
  <si>
    <t xml:space="preserve">PR-862 - Contorno Norte de Ibiporã, Ibiporã - PR </t>
  </si>
  <si>
    <t xml:space="preserve">Data: </t>
  </si>
  <si>
    <t xml:space="preserve">Horário: </t>
  </si>
  <si>
    <t>08:00 às 12:00hs</t>
  </si>
  <si>
    <t xml:space="preserve">Quantidade de colaboradores: </t>
  </si>
  <si>
    <t>Nome</t>
  </si>
  <si>
    <t>Idade
(anos)</t>
  </si>
  <si>
    <t>Altura (cm)</t>
  </si>
  <si>
    <t>Peso (Kg)</t>
  </si>
  <si>
    <t>IMC</t>
  </si>
  <si>
    <t>PA (mmHg)</t>
  </si>
  <si>
    <t>FC      (bpm)</t>
  </si>
  <si>
    <t>GC
(mg/dL)</t>
  </si>
  <si>
    <t xml:space="preserve">Outros </t>
  </si>
  <si>
    <t xml:space="preserve">Sexo </t>
  </si>
  <si>
    <t>OBS</t>
  </si>
  <si>
    <t>FONE</t>
  </si>
  <si>
    <t>Antonio Divino De Andrade Filho</t>
  </si>
  <si>
    <t>150/100</t>
  </si>
  <si>
    <t>Ansiedade e/ou Depressão</t>
  </si>
  <si>
    <t>43 999058236</t>
  </si>
  <si>
    <t>Cleverson Ruan Berginassi</t>
  </si>
  <si>
    <t>128/80</t>
  </si>
  <si>
    <t>AUSÊNCIA DE COMORBIDADES</t>
  </si>
  <si>
    <t>Dairon Machu</t>
  </si>
  <si>
    <t>120/75</t>
  </si>
  <si>
    <t>43 988467271</t>
  </si>
  <si>
    <t>Daniel Júnior De Aquino</t>
  </si>
  <si>
    <t>149/91</t>
  </si>
  <si>
    <t>43 999182599</t>
  </si>
  <si>
    <t>Davyson Dilmar Dudeck</t>
  </si>
  <si>
    <t>144/93</t>
  </si>
  <si>
    <t>Hipertensão Arterial</t>
  </si>
  <si>
    <t>43 9991108812</t>
  </si>
  <si>
    <t>Diogo Queiroz</t>
  </si>
  <si>
    <t>127/81</t>
  </si>
  <si>
    <t>43 998572361</t>
  </si>
  <si>
    <t>Edivaldo Pereira De Oliveira</t>
  </si>
  <si>
    <t>128/84</t>
  </si>
  <si>
    <t>43 99952067</t>
  </si>
  <si>
    <t>Eliane Mara Bueno De Carmago</t>
  </si>
  <si>
    <t>118/82</t>
  </si>
  <si>
    <t>Feminimo - Preventivo há mais de 2 anos</t>
  </si>
  <si>
    <t>43 996097572</t>
  </si>
  <si>
    <t>Emercon Aparecido Alves</t>
  </si>
  <si>
    <t>155/81</t>
  </si>
  <si>
    <t>43 999977603</t>
  </si>
  <si>
    <t>Fernanda Suellen Lima Da Silva</t>
  </si>
  <si>
    <t>110/65</t>
  </si>
  <si>
    <t>Feminino - Preventivo há menos de 2 anos</t>
  </si>
  <si>
    <t>43 99612-0036</t>
  </si>
  <si>
    <t>Gabriel Carmagnani</t>
  </si>
  <si>
    <t>125/75</t>
  </si>
  <si>
    <t>43 991171988</t>
  </si>
  <si>
    <t>Jéssica De Oliveira Mossat</t>
  </si>
  <si>
    <t>116/80</t>
  </si>
  <si>
    <t xml:space="preserve">Feminimo - Preventivo há mais de 2 anos, CARBONATO DE LITIO </t>
  </si>
  <si>
    <t>43 999845596</t>
  </si>
  <si>
    <t>João Otávio Almeida</t>
  </si>
  <si>
    <t>146/65</t>
  </si>
  <si>
    <t>Etilista</t>
  </si>
  <si>
    <t>43 991433845</t>
  </si>
  <si>
    <t>José Orlando De Almeida</t>
  </si>
  <si>
    <t>138/72</t>
  </si>
  <si>
    <t>Hipertensão Arterial, Tabagista</t>
  </si>
  <si>
    <t>43 999015598</t>
  </si>
  <si>
    <t>Kelly Saulino</t>
  </si>
  <si>
    <t>116/64</t>
  </si>
  <si>
    <t xml:space="preserve">Etilista, Feminino - Preventivo há menos de 2 anos, HIPOTIROIDISMO </t>
  </si>
  <si>
    <t>43 9 9618-5708</t>
  </si>
  <si>
    <t>Levino Fernandes</t>
  </si>
  <si>
    <t>157/86</t>
  </si>
  <si>
    <t>Maiara Olívia Da Silva</t>
  </si>
  <si>
    <t>121/80</t>
  </si>
  <si>
    <t>43 98845-9425</t>
  </si>
  <si>
    <t>Maiara Tarine Johnen</t>
  </si>
  <si>
    <t>117/81</t>
  </si>
  <si>
    <t>Tabagista, Feminimo - Preventivo há mais de 2 anos</t>
  </si>
  <si>
    <t>43 984475884</t>
  </si>
  <si>
    <t>Marcelo Gonçalves</t>
  </si>
  <si>
    <t>115/78</t>
  </si>
  <si>
    <t>SEM INFO</t>
  </si>
  <si>
    <t>Marcelo Henrique Alves</t>
  </si>
  <si>
    <t>133/64</t>
  </si>
  <si>
    <t>Marco Antonio Mejía</t>
  </si>
  <si>
    <t>106/81</t>
  </si>
  <si>
    <t>43 988441760</t>
  </si>
  <si>
    <t>Marcos Ubiraja Forceline</t>
  </si>
  <si>
    <t>166/97</t>
  </si>
  <si>
    <t>Hipertensão Arterial, Diabetes Mellitus, DISLIPIDEMIA</t>
  </si>
  <si>
    <t>43 999386808</t>
  </si>
  <si>
    <t>Matheus Augusto</t>
  </si>
  <si>
    <t>144/88</t>
  </si>
  <si>
    <t>43 9984986474</t>
  </si>
  <si>
    <t>Matheus De Paula</t>
  </si>
  <si>
    <t xml:space="preserve"> 142/64</t>
  </si>
  <si>
    <t>Ansiedade e/ou Depressão, Tabagista, SERTRALINA</t>
  </si>
  <si>
    <t>43 996090941</t>
  </si>
  <si>
    <t>Mauro Edilson Alfiere</t>
  </si>
  <si>
    <t>136/97</t>
  </si>
  <si>
    <t xml:space="preserve">Hipertensão Arterial, PROSTATA/PROSTATITE - TANDUO// DISLIPDEMIA </t>
  </si>
  <si>
    <t>43 984030723</t>
  </si>
  <si>
    <t>Neusa Aparecida De Oliveira</t>
  </si>
  <si>
    <t>106/64</t>
  </si>
  <si>
    <t xml:space="preserve">Feminino - Preventivo há menos de 2 anos, HISTERECTOMIA </t>
  </si>
  <si>
    <t>43 99864622</t>
  </si>
  <si>
    <t>Neuza Antonia Fernandes</t>
  </si>
  <si>
    <t>136/73</t>
  </si>
  <si>
    <t xml:space="preserve">Tabagista, ARTRITE REUMATOIDE </t>
  </si>
  <si>
    <t>43 984080752</t>
  </si>
  <si>
    <t>Reginaldo Vilas Boas</t>
  </si>
  <si>
    <t>112/78</t>
  </si>
  <si>
    <t>43 98864333</t>
  </si>
  <si>
    <t>Renato Dos Santos</t>
  </si>
  <si>
    <t xml:space="preserve"> 142/95</t>
  </si>
  <si>
    <t>Tabagista</t>
  </si>
  <si>
    <t>43 991054042</t>
  </si>
  <si>
    <t>Rudnei Barbosa</t>
  </si>
  <si>
    <t>118/87</t>
  </si>
  <si>
    <t>43 991790030</t>
  </si>
  <si>
    <t>Samuel Ferreira De Souza</t>
  </si>
  <si>
    <t>108/61</t>
  </si>
  <si>
    <t>PSORIASE</t>
  </si>
  <si>
    <t>Simone Santos Gomes Pereira</t>
  </si>
  <si>
    <t>112/71</t>
  </si>
  <si>
    <t>43 984080849</t>
  </si>
  <si>
    <t>Valdir Carlos Camargo Júnior</t>
  </si>
  <si>
    <t>136/91</t>
  </si>
  <si>
    <t>Wilson Maciel Diniz</t>
  </si>
  <si>
    <t>138/84</t>
  </si>
  <si>
    <t>43 984446110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</si>
</sst>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0.0"/>
  </numFmts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rgb="FF434343"/>
      <name val="Roboto"/>
    </font>
    <font>
      <sz val="9"/>
      <color theme="1"/>
      <name val="Google Sans Mono"/>
    </font>
    <font>
      <sz val="9"/>
      <color theme="1"/>
      <name val="Arial"/>
    </font>
    <font>
      <sz val="9"/>
      <name val="Libre Franklin"/>
    </font>
    <font>
      <sz val="10"/>
      <name val="Arial"/>
      <family val="2"/>
    </font>
    <font>
      <sz val="9"/>
      <name val="Arial"/>
      <family val="2"/>
    </font>
    <font>
      <sz val="10"/>
      <name val="Libre Franklin"/>
    </font>
    <font>
      <sz val="10"/>
      <name val="Roboto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165" fontId="2" fillId="0" borderId="0" xfId="0" applyNumberFormat="1" applyFont="1" applyFill="1" applyBorder="1" applyAlignment="1">
      <alignment horizontal="right"/>
    </xf>
    <xf numFmtId="165" fontId="4" fillId="0" borderId="0" xfId="0" applyNumberFormat="1" applyFont="1" applyFill="1" applyBorder="1" applyAlignment="1">
      <alignment horizontal="right"/>
    </xf>
    <xf numFmtId="165" fontId="2" fillId="0" borderId="0" xfId="0" applyNumberFormat="1" applyFont="1" applyFill="1" applyBorder="1"/>
    <xf numFmtId="1" fontId="2" fillId="0" borderId="0" xfId="0" applyNumberFormat="1" applyFont="1" applyFill="1" applyBorder="1" applyAlignment="1">
      <alignment horizontal="right"/>
    </xf>
    <xf numFmtId="49" fontId="2" fillId="0" borderId="0" xfId="0" applyNumberFormat="1" applyFont="1" applyFill="1" applyBorder="1" applyAlignment="1">
      <alignment horizontal="right" wrapText="1"/>
    </xf>
    <xf numFmtId="1" fontId="2" fillId="0" borderId="0" xfId="0" applyNumberFormat="1" applyFont="1" applyFill="1" applyBorder="1"/>
    <xf numFmtId="0" fontId="6" fillId="0" borderId="0" xfId="0" applyFont="1" applyFill="1" applyBorder="1"/>
    <xf numFmtId="49" fontId="5" fillId="0" borderId="0" xfId="0" applyNumberFormat="1" applyFont="1" applyFill="1" applyBorder="1" applyAlignment="1">
      <alignment horizontal="right"/>
    </xf>
    <xf numFmtId="0" fontId="0" fillId="0" borderId="0" xfId="0" applyFill="1" applyBorder="1"/>
    <xf numFmtId="0" fontId="8" fillId="0" borderId="0" xfId="0" applyFont="1" applyFill="1" applyBorder="1"/>
    <xf numFmtId="0" fontId="11" fillId="0" borderId="0" xfId="0" applyFont="1" applyFill="1" applyBorder="1" applyAlignment="1">
      <alignment horizontal="right"/>
    </xf>
    <xf numFmtId="165" fontId="11" fillId="0" borderId="0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wrapText="1"/>
    </xf>
    <xf numFmtId="165" fontId="7" fillId="0" borderId="1" xfId="0" applyNumberFormat="1" applyFont="1" applyFill="1" applyBorder="1" applyAlignment="1">
      <alignment wrapText="1"/>
    </xf>
    <xf numFmtId="1" fontId="8" fillId="0" borderId="0" xfId="0" applyNumberFormat="1" applyFont="1" applyFill="1" applyAlignment="1">
      <alignment wrapText="1"/>
    </xf>
    <xf numFmtId="0" fontId="7" fillId="0" borderId="2" xfId="0" applyFont="1" applyFill="1" applyBorder="1" applyAlignment="1">
      <alignment wrapText="1"/>
    </xf>
    <xf numFmtId="0" fontId="9" fillId="0" borderId="0" xfId="0" applyFont="1" applyFill="1"/>
    <xf numFmtId="0" fontId="10" fillId="0" borderId="0" xfId="0" applyFont="1" applyFill="1"/>
    <xf numFmtId="0" fontId="10" fillId="0" borderId="3" xfId="0" applyFont="1" applyFill="1" applyBorder="1" applyAlignment="1">
      <alignment horizontal="right"/>
    </xf>
    <xf numFmtId="1" fontId="10" fillId="0" borderId="3" xfId="0" applyNumberFormat="1" applyFont="1" applyFill="1" applyBorder="1" applyAlignment="1">
      <alignment horizontal="right"/>
    </xf>
    <xf numFmtId="165" fontId="10" fillId="0" borderId="3" xfId="0" applyNumberFormat="1" applyFont="1" applyFill="1" applyBorder="1" applyAlignment="1">
      <alignment horizontal="right"/>
    </xf>
    <xf numFmtId="165" fontId="10" fillId="0" borderId="3" xfId="0" applyNumberFormat="1" applyFont="1" applyFill="1" applyBorder="1"/>
    <xf numFmtId="0" fontId="10" fillId="0" borderId="4" xfId="0" applyFont="1" applyFill="1" applyBorder="1"/>
    <xf numFmtId="0" fontId="10" fillId="0" borderId="5" xfId="0" applyFont="1" applyFill="1" applyBorder="1" applyAlignment="1">
      <alignment horizontal="right"/>
    </xf>
    <xf numFmtId="0" fontId="8" fillId="0" borderId="6" xfId="0" applyFont="1" applyFill="1" applyBorder="1"/>
    <xf numFmtId="0" fontId="10" fillId="0" borderId="7" xfId="0" applyFont="1" applyFill="1" applyBorder="1"/>
    <xf numFmtId="0" fontId="10" fillId="0" borderId="8" xfId="0" applyFont="1" applyFill="1" applyBorder="1" applyAlignment="1">
      <alignment horizontal="right"/>
    </xf>
    <xf numFmtId="1" fontId="10" fillId="0" borderId="8" xfId="0" applyNumberFormat="1" applyFont="1" applyFill="1" applyBorder="1" applyAlignment="1">
      <alignment horizontal="right"/>
    </xf>
    <xf numFmtId="165" fontId="10" fillId="0" borderId="8" xfId="0" applyNumberFormat="1" applyFont="1" applyFill="1" applyBorder="1"/>
    <xf numFmtId="0" fontId="10" fillId="0" borderId="9" xfId="0" applyFont="1" applyFill="1" applyBorder="1"/>
    <xf numFmtId="0" fontId="10" fillId="0" borderId="10" xfId="0" applyFont="1" applyFill="1" applyBorder="1" applyAlignment="1">
      <alignment horizontal="right"/>
    </xf>
    <xf numFmtId="0" fontId="8" fillId="0" borderId="11" xfId="0" applyFont="1" applyFill="1" applyBorder="1"/>
    <xf numFmtId="0" fontId="10" fillId="0" borderId="12" xfId="0" applyFont="1" applyFill="1" applyBorder="1" applyAlignment="1">
      <alignment horizontal="right"/>
    </xf>
    <xf numFmtId="0" fontId="10" fillId="0" borderId="12" xfId="0" applyFont="1" applyFill="1" applyBorder="1"/>
    <xf numFmtId="1" fontId="10" fillId="0" borderId="8" xfId="0" applyNumberFormat="1" applyFont="1" applyFill="1" applyBorder="1"/>
    <xf numFmtId="1" fontId="10" fillId="0" borderId="0" xfId="0" applyNumberFormat="1" applyFont="1" applyFill="1" applyAlignment="1">
      <alignment horizontal="right"/>
    </xf>
    <xf numFmtId="0" fontId="10" fillId="0" borderId="7" xfId="0" applyFont="1" applyFill="1" applyBorder="1" applyAlignment="1">
      <alignment horizontal="right"/>
    </xf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Página1-style" pivot="0" count="2" xr9:uid="{00000000-0011-0000-FFFF-FFFF00000000}">
      <tableStyleElement type="firstRowStripe" dxfId="20"/>
      <tableStyleElement type="secondRowStripe" dxfId="19"/>
    </tableStyle>
    <tableStyle name="Página1-style 2" pivot="0" count="2" xr9:uid="{00000000-0011-0000-FFFF-FFFF01000000}"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I40" headerRowCount="0" headerRowDxfId="6" dataDxfId="4" totalsRowDxfId="5">
  <tableColumns count="9">
    <tableColumn id="1" xr3:uid="{00000000-0010-0000-0000-000001000000}" name="Column1" dataDxfId="15"/>
    <tableColumn id="2" xr3:uid="{00000000-0010-0000-0000-000002000000}" name="Column2" dataDxfId="14"/>
    <tableColumn id="3" xr3:uid="{00000000-0010-0000-0000-000003000000}" name="Column3" dataDxfId="13"/>
    <tableColumn id="4" xr3:uid="{00000000-0010-0000-0000-000004000000}" name="Column4" dataDxfId="12"/>
    <tableColumn id="5" xr3:uid="{00000000-0010-0000-0000-000005000000}" name="Column5" dataDxfId="11"/>
    <tableColumn id="6" xr3:uid="{00000000-0010-0000-0000-000006000000}" name="Column6" dataDxfId="10"/>
    <tableColumn id="7" xr3:uid="{00000000-0010-0000-0000-000007000000}" name="Column7" dataDxfId="9"/>
    <tableColumn id="8" xr3:uid="{00000000-0010-0000-0000-000008000000}" name="Column8" dataDxfId="8"/>
    <tableColumn id="9" xr3:uid="{00000000-0010-0000-0000-000009000000}" name="Column9" dataDxfId="7"/>
  </tableColumns>
  <tableStyleInfo name="Página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J7:N40" headerRowCount="0">
  <tableColumns count="5">
    <tableColumn id="1" xr3:uid="{00000000-0010-0000-0100-000001000000}" name="Column1" dataDxfId="3"/>
    <tableColumn id="2" xr3:uid="{00000000-0010-0000-0100-000002000000}" name="Column2" dataDxfId="2"/>
    <tableColumn id="3" xr3:uid="{00000000-0010-0000-0100-000003000000}" name="Column3" dataDxfId="1"/>
    <tableColumn id="4" xr3:uid="{00000000-0010-0000-0100-000004000000}" name="Column4" dataDxfId="0"/>
    <tableColumn id="5" xr3:uid="{00000000-0010-0000-0100-000005000000}" name="Column5" dataDxfId="16"/>
  </tableColumns>
  <tableStyleInfo name="Página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2"/>
  <sheetViews>
    <sheetView tabSelected="1" workbookViewId="0">
      <selection activeCell="Q12" sqref="Q12"/>
    </sheetView>
  </sheetViews>
  <sheetFormatPr defaultColWidth="12.6640625" defaultRowHeight="15.75" customHeight="1"/>
  <cols>
    <col min="6" max="6" width="9.88671875" customWidth="1"/>
    <col min="7" max="7" width="7.77734375" customWidth="1"/>
    <col min="8" max="8" width="7.6640625" customWidth="1"/>
    <col min="9" max="9" width="25.6640625" customWidth="1"/>
    <col min="10" max="10" width="5" customWidth="1"/>
    <col min="11" max="11" width="4.88671875" customWidth="1"/>
    <col min="12" max="12" width="8.77734375" customWidth="1"/>
    <col min="13" max="14" width="6.6640625" customWidth="1"/>
  </cols>
  <sheetData>
    <row r="1" spans="1:20">
      <c r="A1" s="1" t="s">
        <v>0</v>
      </c>
      <c r="B1" s="1" t="s">
        <v>1</v>
      </c>
    </row>
    <row r="2" spans="1:20">
      <c r="A2" s="1" t="s">
        <v>2</v>
      </c>
      <c r="B2" s="1" t="s">
        <v>3</v>
      </c>
    </row>
    <row r="3" spans="1:20">
      <c r="A3" s="1" t="s">
        <v>4</v>
      </c>
      <c r="B3" s="2">
        <v>45985</v>
      </c>
    </row>
    <row r="4" spans="1:20">
      <c r="A4" s="1" t="s">
        <v>5</v>
      </c>
      <c r="B4" s="1" t="s">
        <v>6</v>
      </c>
    </row>
    <row r="5" spans="1:20" ht="13.2">
      <c r="A5" s="1" t="s">
        <v>7</v>
      </c>
      <c r="B5" s="1">
        <v>35</v>
      </c>
    </row>
    <row r="6" spans="1:20" ht="15.75" customHeight="1">
      <c r="A6" s="21" t="s">
        <v>8</v>
      </c>
      <c r="B6" s="21" t="s">
        <v>9</v>
      </c>
      <c r="C6" s="21" t="s">
        <v>10</v>
      </c>
      <c r="D6" s="21" t="s">
        <v>11</v>
      </c>
      <c r="E6" s="22" t="s">
        <v>12</v>
      </c>
      <c r="F6" s="21" t="s">
        <v>13</v>
      </c>
      <c r="G6" s="23" t="s">
        <v>14</v>
      </c>
      <c r="H6" s="24" t="s">
        <v>15</v>
      </c>
      <c r="I6" s="25" t="s">
        <v>16</v>
      </c>
      <c r="J6" s="25" t="s">
        <v>17</v>
      </c>
      <c r="K6" s="25" t="s">
        <v>18</v>
      </c>
      <c r="L6" s="25" t="s">
        <v>19</v>
      </c>
      <c r="M6" s="18"/>
      <c r="N6" s="3"/>
      <c r="O6" s="4"/>
      <c r="P6" s="5"/>
      <c r="Q6" s="5"/>
      <c r="R6" s="3"/>
      <c r="S6" s="3"/>
      <c r="T6" s="3"/>
    </row>
    <row r="7" spans="1:20" ht="15.75" customHeight="1">
      <c r="A7" s="26" t="s">
        <v>20</v>
      </c>
      <c r="B7" s="27">
        <v>44</v>
      </c>
      <c r="C7" s="27">
        <v>1.73</v>
      </c>
      <c r="D7" s="28">
        <v>82</v>
      </c>
      <c r="E7" s="29">
        <f t="shared" ref="E7:E40" si="0">D7/(C7*C7)</f>
        <v>27.398175682448461</v>
      </c>
      <c r="F7" s="30" t="s">
        <v>21</v>
      </c>
      <c r="G7" s="27">
        <v>82</v>
      </c>
      <c r="H7" s="28">
        <v>97</v>
      </c>
      <c r="I7" s="31" t="s">
        <v>22</v>
      </c>
      <c r="J7" s="32">
        <v>2</v>
      </c>
      <c r="K7" s="33"/>
      <c r="L7" s="34" t="s">
        <v>23</v>
      </c>
      <c r="M7" s="19"/>
      <c r="N7" s="6"/>
      <c r="O7" s="3"/>
      <c r="P7" s="3"/>
      <c r="Q7" s="3"/>
      <c r="R7" s="3"/>
      <c r="S7" s="3"/>
      <c r="T7" s="3"/>
    </row>
    <row r="8" spans="1:20" ht="15.75" customHeight="1">
      <c r="A8" s="26" t="s">
        <v>24</v>
      </c>
      <c r="B8" s="35">
        <v>35</v>
      </c>
      <c r="C8" s="35">
        <v>1.8</v>
      </c>
      <c r="D8" s="36">
        <v>98</v>
      </c>
      <c r="E8" s="29">
        <f t="shared" si="0"/>
        <v>30.246913580246911</v>
      </c>
      <c r="F8" s="37" t="s">
        <v>25</v>
      </c>
      <c r="G8" s="35">
        <v>91</v>
      </c>
      <c r="H8" s="36">
        <v>93</v>
      </c>
      <c r="I8" s="38" t="s">
        <v>26</v>
      </c>
      <c r="J8" s="39">
        <v>2</v>
      </c>
      <c r="K8" s="40"/>
      <c r="L8" s="41">
        <v>43984161678</v>
      </c>
      <c r="M8" s="19"/>
      <c r="N8" s="6"/>
      <c r="O8" s="3"/>
      <c r="P8" s="7"/>
      <c r="Q8" s="8"/>
      <c r="R8" s="9"/>
      <c r="S8" s="3"/>
      <c r="T8" s="3"/>
    </row>
    <row r="9" spans="1:20" ht="15.75" customHeight="1">
      <c r="A9" s="26" t="s">
        <v>27</v>
      </c>
      <c r="B9" s="27">
        <v>30</v>
      </c>
      <c r="C9" s="27">
        <v>1.75</v>
      </c>
      <c r="D9" s="28">
        <v>90</v>
      </c>
      <c r="E9" s="29">
        <f t="shared" si="0"/>
        <v>29.387755102040817</v>
      </c>
      <c r="F9" s="30" t="s">
        <v>28</v>
      </c>
      <c r="G9" s="27">
        <v>61</v>
      </c>
      <c r="H9" s="28">
        <v>89</v>
      </c>
      <c r="I9" s="31" t="s">
        <v>26</v>
      </c>
      <c r="J9" s="32">
        <v>2</v>
      </c>
      <c r="K9" s="33"/>
      <c r="L9" s="34" t="s">
        <v>29</v>
      </c>
      <c r="M9" s="20"/>
      <c r="N9" s="10"/>
      <c r="O9" s="3"/>
      <c r="P9" s="7"/>
      <c r="Q9" s="7"/>
      <c r="R9" s="11"/>
      <c r="S9" s="3"/>
      <c r="T9" s="3"/>
    </row>
    <row r="10" spans="1:20" ht="15.75" customHeight="1">
      <c r="A10" s="26" t="s">
        <v>30</v>
      </c>
      <c r="B10" s="35">
        <v>50</v>
      </c>
      <c r="C10" s="35">
        <v>1.71</v>
      </c>
      <c r="D10" s="36">
        <v>84</v>
      </c>
      <c r="E10" s="29">
        <f t="shared" si="0"/>
        <v>28.726787729557817</v>
      </c>
      <c r="F10" s="37" t="s">
        <v>31</v>
      </c>
      <c r="G10" s="35">
        <v>67</v>
      </c>
      <c r="H10" s="36">
        <v>108</v>
      </c>
      <c r="I10" s="38" t="s">
        <v>26</v>
      </c>
      <c r="J10" s="39">
        <v>2</v>
      </c>
      <c r="K10" s="40"/>
      <c r="L10" s="42" t="s">
        <v>32</v>
      </c>
      <c r="M10" s="18"/>
      <c r="N10" s="3"/>
      <c r="O10" s="3"/>
      <c r="P10" s="7"/>
      <c r="Q10" s="8"/>
      <c r="R10" s="9"/>
      <c r="S10" s="3"/>
      <c r="T10" s="3"/>
    </row>
    <row r="11" spans="1:20" ht="15.75" customHeight="1">
      <c r="A11" s="26" t="s">
        <v>33</v>
      </c>
      <c r="B11" s="27">
        <v>46</v>
      </c>
      <c r="C11" s="27">
        <v>1.73</v>
      </c>
      <c r="D11" s="28">
        <v>95</v>
      </c>
      <c r="E11" s="29">
        <f t="shared" si="0"/>
        <v>31.741788900397605</v>
      </c>
      <c r="F11" s="30" t="s">
        <v>34</v>
      </c>
      <c r="G11" s="27">
        <v>83</v>
      </c>
      <c r="H11" s="28">
        <v>108</v>
      </c>
      <c r="I11" s="31" t="s">
        <v>35</v>
      </c>
      <c r="J11" s="32">
        <v>2</v>
      </c>
      <c r="K11" s="33"/>
      <c r="L11" s="34" t="s">
        <v>36</v>
      </c>
      <c r="M11" s="18"/>
      <c r="N11" s="3"/>
      <c r="O11" s="3"/>
      <c r="P11" s="7"/>
      <c r="Q11" s="8"/>
      <c r="R11" s="3"/>
      <c r="S11" s="3"/>
      <c r="T11" s="3"/>
    </row>
    <row r="12" spans="1:20" ht="15.75" customHeight="1">
      <c r="A12" s="26" t="s">
        <v>37</v>
      </c>
      <c r="B12" s="35">
        <v>21</v>
      </c>
      <c r="C12" s="35">
        <v>1.7</v>
      </c>
      <c r="D12" s="35">
        <v>70</v>
      </c>
      <c r="E12" s="29">
        <f t="shared" si="0"/>
        <v>24.221453287197235</v>
      </c>
      <c r="F12" s="43" t="s">
        <v>38</v>
      </c>
      <c r="G12" s="35">
        <v>57</v>
      </c>
      <c r="H12" s="36">
        <v>102</v>
      </c>
      <c r="I12" s="38" t="s">
        <v>26</v>
      </c>
      <c r="J12" s="39">
        <v>2</v>
      </c>
      <c r="K12" s="40"/>
      <c r="L12" s="42" t="s">
        <v>39</v>
      </c>
      <c r="M12" s="18"/>
      <c r="N12" s="3"/>
      <c r="O12" s="3"/>
      <c r="P12" s="3"/>
      <c r="Q12" s="8"/>
      <c r="R12" s="12"/>
      <c r="S12" s="3"/>
      <c r="T12" s="3"/>
    </row>
    <row r="13" spans="1:20" ht="15.75" customHeight="1">
      <c r="A13" s="26" t="s">
        <v>40</v>
      </c>
      <c r="B13" s="27">
        <v>50</v>
      </c>
      <c r="C13" s="27">
        <v>1.75</v>
      </c>
      <c r="D13" s="28">
        <v>65</v>
      </c>
      <c r="E13" s="29">
        <f t="shared" si="0"/>
        <v>21.224489795918366</v>
      </c>
      <c r="F13" s="30" t="s">
        <v>41</v>
      </c>
      <c r="G13" s="27">
        <v>71</v>
      </c>
      <c r="H13" s="28">
        <v>102</v>
      </c>
      <c r="I13" s="31" t="s">
        <v>26</v>
      </c>
      <c r="J13" s="32">
        <v>2</v>
      </c>
      <c r="K13" s="33"/>
      <c r="L13" s="34" t="s">
        <v>42</v>
      </c>
      <c r="M13" s="18"/>
      <c r="N13" s="3"/>
      <c r="O13" s="4"/>
      <c r="P13" s="5"/>
      <c r="Q13" s="5"/>
      <c r="R13" s="3"/>
      <c r="S13" s="3"/>
      <c r="T13" s="3"/>
    </row>
    <row r="14" spans="1:20" ht="15.75" customHeight="1">
      <c r="A14" s="26" t="s">
        <v>43</v>
      </c>
      <c r="B14" s="35">
        <v>45</v>
      </c>
      <c r="C14" s="35">
        <v>1.7</v>
      </c>
      <c r="D14" s="36">
        <v>81</v>
      </c>
      <c r="E14" s="29">
        <f t="shared" si="0"/>
        <v>28.027681660899656</v>
      </c>
      <c r="F14" s="37" t="s">
        <v>44</v>
      </c>
      <c r="G14" s="35">
        <v>70</v>
      </c>
      <c r="H14" s="36">
        <v>82</v>
      </c>
      <c r="I14" s="38" t="s">
        <v>45</v>
      </c>
      <c r="J14" s="39">
        <v>1</v>
      </c>
      <c r="K14" s="40"/>
      <c r="L14" s="42" t="s">
        <v>46</v>
      </c>
      <c r="M14" s="18"/>
      <c r="N14" s="3"/>
      <c r="O14" s="3"/>
      <c r="P14" s="13"/>
      <c r="Q14" s="12"/>
      <c r="R14" s="3"/>
      <c r="S14" s="3"/>
      <c r="T14" s="3"/>
    </row>
    <row r="15" spans="1:20" ht="15.75" customHeight="1">
      <c r="A15" s="26" t="s">
        <v>47</v>
      </c>
      <c r="B15" s="27">
        <v>47</v>
      </c>
      <c r="C15" s="27">
        <v>1.97</v>
      </c>
      <c r="D15" s="28">
        <v>117</v>
      </c>
      <c r="E15" s="29">
        <f t="shared" si="0"/>
        <v>30.14764616454946</v>
      </c>
      <c r="F15" s="30" t="s">
        <v>48</v>
      </c>
      <c r="G15" s="27">
        <v>54</v>
      </c>
      <c r="H15" s="28">
        <v>87</v>
      </c>
      <c r="I15" s="31" t="s">
        <v>26</v>
      </c>
      <c r="J15" s="32">
        <v>2</v>
      </c>
      <c r="K15" s="33"/>
      <c r="L15" s="34" t="s">
        <v>49</v>
      </c>
      <c r="M15" s="18"/>
      <c r="N15" s="3"/>
      <c r="O15" s="3"/>
      <c r="P15" s="13"/>
      <c r="Q15" s="12"/>
      <c r="R15" s="3"/>
      <c r="S15" s="3"/>
      <c r="T15" s="3"/>
    </row>
    <row r="16" spans="1:20" ht="15.75" customHeight="1">
      <c r="A16" s="26" t="s">
        <v>50</v>
      </c>
      <c r="B16" s="35">
        <v>29</v>
      </c>
      <c r="C16" s="35">
        <v>1.6</v>
      </c>
      <c r="D16" s="36">
        <v>57.3</v>
      </c>
      <c r="E16" s="29">
        <f t="shared" si="0"/>
        <v>22.382812499999993</v>
      </c>
      <c r="F16" s="37" t="s">
        <v>51</v>
      </c>
      <c r="G16" s="35">
        <v>65</v>
      </c>
      <c r="H16" s="36">
        <v>71</v>
      </c>
      <c r="I16" s="38" t="s">
        <v>52</v>
      </c>
      <c r="J16" s="39">
        <v>1</v>
      </c>
      <c r="K16" s="40"/>
      <c r="L16" s="42" t="s">
        <v>53</v>
      </c>
      <c r="M16" s="18"/>
      <c r="N16" s="3"/>
      <c r="O16" s="3"/>
      <c r="P16" s="3"/>
      <c r="Q16" s="12"/>
      <c r="R16" s="3"/>
      <c r="S16" s="3"/>
      <c r="T16" s="3"/>
    </row>
    <row r="17" spans="1:20" ht="15.75" customHeight="1">
      <c r="A17" s="26" t="s">
        <v>54</v>
      </c>
      <c r="B17" s="27">
        <v>27</v>
      </c>
      <c r="C17" s="27">
        <v>1.6</v>
      </c>
      <c r="D17" s="28">
        <v>68</v>
      </c>
      <c r="E17" s="29">
        <f t="shared" si="0"/>
        <v>26.562499999999996</v>
      </c>
      <c r="F17" s="30" t="s">
        <v>55</v>
      </c>
      <c r="G17" s="27">
        <v>102</v>
      </c>
      <c r="H17" s="28">
        <v>66</v>
      </c>
      <c r="I17" s="31" t="s">
        <v>26</v>
      </c>
      <c r="J17" s="32">
        <v>2</v>
      </c>
      <c r="K17" s="33"/>
      <c r="L17" s="34" t="s">
        <v>56</v>
      </c>
      <c r="M17" s="18"/>
      <c r="N17" s="3"/>
      <c r="O17" s="4"/>
      <c r="P17" s="5"/>
      <c r="Q17" s="5"/>
      <c r="R17" s="3"/>
      <c r="S17" s="4"/>
      <c r="T17" s="5"/>
    </row>
    <row r="18" spans="1:20" ht="15.75" customHeight="1">
      <c r="A18" s="26" t="s">
        <v>57</v>
      </c>
      <c r="B18" s="35">
        <v>34</v>
      </c>
      <c r="C18" s="35">
        <v>1.63</v>
      </c>
      <c r="D18" s="36">
        <v>90</v>
      </c>
      <c r="E18" s="29">
        <f t="shared" si="0"/>
        <v>33.874063758515568</v>
      </c>
      <c r="F18" s="37" t="s">
        <v>58</v>
      </c>
      <c r="G18" s="35">
        <v>81</v>
      </c>
      <c r="H18" s="36">
        <v>98</v>
      </c>
      <c r="I18" s="38" t="s">
        <v>59</v>
      </c>
      <c r="J18" s="39">
        <v>1</v>
      </c>
      <c r="K18" s="40"/>
      <c r="L18" s="42" t="s">
        <v>60</v>
      </c>
      <c r="M18" s="18"/>
      <c r="N18" s="3"/>
      <c r="O18" s="3"/>
      <c r="P18" s="7"/>
      <c r="Q18" s="12"/>
      <c r="R18" s="12"/>
      <c r="S18" s="3"/>
      <c r="T18" s="3"/>
    </row>
    <row r="19" spans="1:20" ht="15.75" customHeight="1">
      <c r="A19" s="26" t="s">
        <v>61</v>
      </c>
      <c r="B19" s="27">
        <v>18</v>
      </c>
      <c r="C19" s="27">
        <v>1.85</v>
      </c>
      <c r="D19" s="28">
        <v>77.599999999999994</v>
      </c>
      <c r="E19" s="29">
        <f t="shared" si="0"/>
        <v>22.673484295105911</v>
      </c>
      <c r="F19" s="30" t="s">
        <v>62</v>
      </c>
      <c r="G19" s="27">
        <v>67</v>
      </c>
      <c r="H19" s="28">
        <v>91</v>
      </c>
      <c r="I19" s="31" t="s">
        <v>63</v>
      </c>
      <c r="J19" s="32">
        <v>2</v>
      </c>
      <c r="K19" s="33"/>
      <c r="L19" s="34" t="s">
        <v>64</v>
      </c>
      <c r="M19" s="18"/>
      <c r="N19" s="3"/>
      <c r="O19" s="3"/>
      <c r="P19" s="7"/>
      <c r="Q19" s="12"/>
      <c r="R19" s="3"/>
      <c r="S19" s="3"/>
      <c r="T19" s="3"/>
    </row>
    <row r="20" spans="1:20" ht="15.75" customHeight="1">
      <c r="A20" s="26" t="s">
        <v>65</v>
      </c>
      <c r="B20" s="35">
        <v>48</v>
      </c>
      <c r="C20" s="35">
        <v>1.87</v>
      </c>
      <c r="D20" s="36">
        <v>123</v>
      </c>
      <c r="E20" s="29">
        <f t="shared" si="0"/>
        <v>35.174011267122303</v>
      </c>
      <c r="F20" s="37" t="s">
        <v>66</v>
      </c>
      <c r="G20" s="35">
        <v>60</v>
      </c>
      <c r="H20" s="36">
        <v>88</v>
      </c>
      <c r="I20" s="38" t="s">
        <v>67</v>
      </c>
      <c r="J20" s="39">
        <v>2</v>
      </c>
      <c r="K20" s="40"/>
      <c r="L20" s="42" t="s">
        <v>68</v>
      </c>
      <c r="M20" s="18"/>
      <c r="N20" s="3"/>
      <c r="O20" s="3"/>
      <c r="P20" s="7"/>
      <c r="Q20" s="12"/>
      <c r="R20" s="9"/>
      <c r="S20" s="3"/>
      <c r="T20" s="3"/>
    </row>
    <row r="21" spans="1:20" ht="15.75" customHeight="1">
      <c r="A21" s="26" t="s">
        <v>69</v>
      </c>
      <c r="B21" s="27">
        <v>30</v>
      </c>
      <c r="C21" s="27">
        <v>1.7</v>
      </c>
      <c r="D21" s="28">
        <v>91</v>
      </c>
      <c r="E21" s="29">
        <f t="shared" si="0"/>
        <v>31.487889273356405</v>
      </c>
      <c r="F21" s="30" t="s">
        <v>70</v>
      </c>
      <c r="G21" s="27">
        <v>72</v>
      </c>
      <c r="H21" s="28">
        <v>114</v>
      </c>
      <c r="I21" s="31" t="s">
        <v>71</v>
      </c>
      <c r="J21" s="32">
        <v>1</v>
      </c>
      <c r="K21" s="33"/>
      <c r="L21" s="34" t="s">
        <v>72</v>
      </c>
      <c r="M21" s="18"/>
      <c r="N21" s="3"/>
      <c r="O21" s="3"/>
      <c r="P21" s="7"/>
      <c r="Q21" s="12"/>
      <c r="R21" s="3"/>
      <c r="S21" s="3"/>
      <c r="T21" s="3"/>
    </row>
    <row r="22" spans="1:20" ht="15.75" customHeight="1">
      <c r="A22" s="26" t="s">
        <v>73</v>
      </c>
      <c r="B22" s="35">
        <v>55</v>
      </c>
      <c r="C22" s="35">
        <v>1.63</v>
      </c>
      <c r="D22" s="36">
        <v>84</v>
      </c>
      <c r="E22" s="29">
        <f t="shared" si="0"/>
        <v>31.615792841281195</v>
      </c>
      <c r="F22" s="37" t="s">
        <v>74</v>
      </c>
      <c r="G22" s="35">
        <v>83</v>
      </c>
      <c r="H22" s="36">
        <v>157</v>
      </c>
      <c r="I22" s="38" t="s">
        <v>26</v>
      </c>
      <c r="J22" s="39">
        <v>2</v>
      </c>
      <c r="K22" s="40"/>
      <c r="L22" s="41">
        <v>43984316500</v>
      </c>
      <c r="M22" s="18"/>
      <c r="N22" s="3"/>
      <c r="O22" s="3"/>
      <c r="P22" s="8"/>
      <c r="Q22" s="12"/>
      <c r="R22" s="3"/>
      <c r="S22" s="3"/>
      <c r="T22" s="3"/>
    </row>
    <row r="23" spans="1:20" ht="15.75" customHeight="1">
      <c r="A23" s="26" t="s">
        <v>75</v>
      </c>
      <c r="B23" s="27">
        <v>27</v>
      </c>
      <c r="C23" s="27">
        <v>1.6</v>
      </c>
      <c r="D23" s="28">
        <v>58</v>
      </c>
      <c r="E23" s="29">
        <f t="shared" si="0"/>
        <v>22.656249999999996</v>
      </c>
      <c r="F23" s="30" t="s">
        <v>76</v>
      </c>
      <c r="G23" s="27">
        <v>82</v>
      </c>
      <c r="H23" s="28">
        <v>135</v>
      </c>
      <c r="I23" s="31" t="s">
        <v>45</v>
      </c>
      <c r="J23" s="32">
        <v>1</v>
      </c>
      <c r="K23" s="33"/>
      <c r="L23" s="34" t="s">
        <v>77</v>
      </c>
      <c r="M23" s="18"/>
      <c r="N23" s="3"/>
      <c r="O23" s="3"/>
      <c r="P23" s="8"/>
      <c r="Q23" s="11"/>
      <c r="R23" s="8"/>
      <c r="S23" s="3"/>
      <c r="T23" s="3"/>
    </row>
    <row r="24" spans="1:20" ht="15.75" customHeight="1">
      <c r="A24" s="26" t="s">
        <v>78</v>
      </c>
      <c r="B24" s="35">
        <v>33</v>
      </c>
      <c r="C24" s="35">
        <v>1.66</v>
      </c>
      <c r="D24" s="36">
        <v>69</v>
      </c>
      <c r="E24" s="29">
        <f t="shared" si="0"/>
        <v>25.039918710988534</v>
      </c>
      <c r="F24" s="37" t="s">
        <v>79</v>
      </c>
      <c r="G24" s="35">
        <v>74</v>
      </c>
      <c r="H24" s="36">
        <v>80</v>
      </c>
      <c r="I24" s="38" t="s">
        <v>80</v>
      </c>
      <c r="J24" s="39">
        <v>1</v>
      </c>
      <c r="K24" s="40"/>
      <c r="L24" s="42" t="s">
        <v>81</v>
      </c>
      <c r="M24" s="18"/>
      <c r="N24" s="3"/>
      <c r="O24" s="4"/>
      <c r="P24" s="5"/>
      <c r="Q24" s="5"/>
      <c r="R24" s="3"/>
      <c r="S24" s="4"/>
      <c r="T24" s="5"/>
    </row>
    <row r="25" spans="1:20" ht="15.75" customHeight="1">
      <c r="A25" s="26" t="s">
        <v>82</v>
      </c>
      <c r="B25" s="27">
        <v>34</v>
      </c>
      <c r="C25" s="27">
        <v>1.73</v>
      </c>
      <c r="D25" s="28">
        <v>70</v>
      </c>
      <c r="E25" s="29">
        <f t="shared" si="0"/>
        <v>23.388686558187711</v>
      </c>
      <c r="F25" s="30" t="s">
        <v>83</v>
      </c>
      <c r="G25" s="27">
        <v>71</v>
      </c>
      <c r="H25" s="28">
        <v>76</v>
      </c>
      <c r="I25" s="31" t="s">
        <v>26</v>
      </c>
      <c r="J25" s="32">
        <v>2</v>
      </c>
      <c r="K25" s="33"/>
      <c r="L25" s="34" t="s">
        <v>84</v>
      </c>
      <c r="M25" s="18"/>
      <c r="N25" s="3"/>
      <c r="O25" s="3"/>
      <c r="P25" s="3"/>
      <c r="Q25" s="14"/>
      <c r="R25" s="8"/>
      <c r="S25" s="3"/>
      <c r="T25" s="3"/>
    </row>
    <row r="26" spans="1:20" ht="15.75" customHeight="1">
      <c r="A26" s="26" t="s">
        <v>85</v>
      </c>
      <c r="B26" s="35">
        <v>47</v>
      </c>
      <c r="C26" s="35">
        <v>1.78</v>
      </c>
      <c r="D26" s="36">
        <v>94</v>
      </c>
      <c r="E26" s="29">
        <f t="shared" si="0"/>
        <v>29.667971215755585</v>
      </c>
      <c r="F26" s="37" t="s">
        <v>86</v>
      </c>
      <c r="G26" s="35">
        <v>69</v>
      </c>
      <c r="H26" s="36">
        <v>113</v>
      </c>
      <c r="I26" s="38" t="s">
        <v>67</v>
      </c>
      <c r="J26" s="39">
        <v>2</v>
      </c>
      <c r="K26" s="40"/>
      <c r="L26" s="41">
        <v>43999450028</v>
      </c>
      <c r="M26" s="18"/>
      <c r="N26" s="3"/>
      <c r="O26" s="3"/>
      <c r="P26" s="7"/>
      <c r="Q26" s="12"/>
      <c r="R26" s="15"/>
      <c r="S26" s="3"/>
      <c r="T26" s="3"/>
    </row>
    <row r="27" spans="1:20" ht="16.8">
      <c r="A27" s="26" t="s">
        <v>87</v>
      </c>
      <c r="B27" s="27">
        <v>40</v>
      </c>
      <c r="C27" s="27">
        <v>1.54</v>
      </c>
      <c r="D27" s="28">
        <v>70</v>
      </c>
      <c r="E27" s="29">
        <f t="shared" si="0"/>
        <v>29.515938606847698</v>
      </c>
      <c r="F27" s="30" t="s">
        <v>88</v>
      </c>
      <c r="G27" s="27">
        <v>77</v>
      </c>
      <c r="H27" s="28">
        <v>101</v>
      </c>
      <c r="I27" s="31" t="s">
        <v>26</v>
      </c>
      <c r="J27" s="32">
        <v>2</v>
      </c>
      <c r="K27" s="33"/>
      <c r="L27" s="34" t="s">
        <v>89</v>
      </c>
      <c r="M27" s="18"/>
      <c r="N27" s="3"/>
      <c r="O27" s="3"/>
      <c r="P27" s="7"/>
      <c r="Q27" s="12"/>
      <c r="R27" s="9"/>
      <c r="S27" s="3"/>
      <c r="T27" s="3"/>
    </row>
    <row r="28" spans="1:20" ht="16.8">
      <c r="A28" s="26" t="s">
        <v>90</v>
      </c>
      <c r="B28" s="35">
        <v>53</v>
      </c>
      <c r="C28" s="35">
        <v>1.92</v>
      </c>
      <c r="D28" s="36">
        <v>102</v>
      </c>
      <c r="E28" s="29">
        <f t="shared" si="0"/>
        <v>27.669270833333336</v>
      </c>
      <c r="F28" s="37" t="s">
        <v>91</v>
      </c>
      <c r="G28" s="35">
        <v>77</v>
      </c>
      <c r="H28" s="36">
        <v>198</v>
      </c>
      <c r="I28" s="38" t="s">
        <v>92</v>
      </c>
      <c r="J28" s="39">
        <v>2</v>
      </c>
      <c r="K28" s="40"/>
      <c r="L28" s="42" t="s">
        <v>93</v>
      </c>
      <c r="M28" s="18"/>
      <c r="N28" s="3"/>
      <c r="O28" s="3"/>
      <c r="P28" s="7"/>
      <c r="Q28" s="12"/>
      <c r="R28" s="3"/>
      <c r="S28" s="3"/>
      <c r="T28" s="3"/>
    </row>
    <row r="29" spans="1:20" ht="16.8">
      <c r="A29" s="26" t="s">
        <v>94</v>
      </c>
      <c r="B29" s="27">
        <v>29</v>
      </c>
      <c r="C29" s="27">
        <v>1.83</v>
      </c>
      <c r="D29" s="28">
        <v>110</v>
      </c>
      <c r="E29" s="29">
        <f t="shared" si="0"/>
        <v>32.846606348353184</v>
      </c>
      <c r="F29" s="30" t="s">
        <v>95</v>
      </c>
      <c r="G29" s="27">
        <v>60</v>
      </c>
      <c r="H29" s="28">
        <v>86</v>
      </c>
      <c r="I29" s="31" t="s">
        <v>26</v>
      </c>
      <c r="J29" s="32">
        <v>2</v>
      </c>
      <c r="K29" s="33"/>
      <c r="L29" s="34" t="s">
        <v>96</v>
      </c>
      <c r="M29" s="18"/>
      <c r="N29" s="3"/>
      <c r="O29" s="3"/>
      <c r="P29" s="8"/>
      <c r="Q29" s="9"/>
      <c r="R29" s="9"/>
      <c r="S29" s="3"/>
      <c r="T29" s="3"/>
    </row>
    <row r="30" spans="1:20" ht="16.8">
      <c r="A30" s="26" t="s">
        <v>97</v>
      </c>
      <c r="B30" s="35">
        <v>24</v>
      </c>
      <c r="C30" s="35">
        <v>1.9</v>
      </c>
      <c r="D30" s="36">
        <v>88</v>
      </c>
      <c r="E30" s="29">
        <f t="shared" si="0"/>
        <v>24.37673130193906</v>
      </c>
      <c r="F30" s="37" t="s">
        <v>98</v>
      </c>
      <c r="G30" s="35">
        <v>63</v>
      </c>
      <c r="H30" s="36">
        <v>91</v>
      </c>
      <c r="I30" s="38" t="s">
        <v>99</v>
      </c>
      <c r="J30" s="39">
        <v>1</v>
      </c>
      <c r="K30" s="40"/>
      <c r="L30" s="42" t="s">
        <v>100</v>
      </c>
      <c r="M30" s="18"/>
      <c r="N30" s="3"/>
      <c r="O30" s="3"/>
      <c r="P30" s="8"/>
      <c r="Q30" s="9"/>
      <c r="R30" s="3"/>
      <c r="S30" s="3"/>
      <c r="T30" s="3"/>
    </row>
    <row r="31" spans="1:20" ht="16.8">
      <c r="A31" s="26" t="s">
        <v>101</v>
      </c>
      <c r="B31" s="27">
        <v>54</v>
      </c>
      <c r="C31" s="27">
        <v>1.92</v>
      </c>
      <c r="D31" s="28">
        <v>98</v>
      </c>
      <c r="E31" s="29">
        <f t="shared" si="0"/>
        <v>26.584201388888889</v>
      </c>
      <c r="F31" s="30" t="s">
        <v>102</v>
      </c>
      <c r="G31" s="27">
        <v>75</v>
      </c>
      <c r="H31" s="28">
        <v>89</v>
      </c>
      <c r="I31" s="31" t="s">
        <v>103</v>
      </c>
      <c r="J31" s="32">
        <v>2</v>
      </c>
      <c r="K31" s="33"/>
      <c r="L31" s="34" t="s">
        <v>104</v>
      </c>
      <c r="M31" s="18"/>
      <c r="N31" s="3"/>
      <c r="O31" s="4"/>
      <c r="P31" s="5"/>
      <c r="Q31" s="5"/>
      <c r="R31" s="8"/>
      <c r="S31" s="3"/>
      <c r="T31" s="3"/>
    </row>
    <row r="32" spans="1:20" ht="16.8">
      <c r="A32" s="26" t="s">
        <v>105</v>
      </c>
      <c r="B32" s="35">
        <v>55</v>
      </c>
      <c r="C32" s="35">
        <v>1.67</v>
      </c>
      <c r="D32" s="36">
        <v>86.7</v>
      </c>
      <c r="E32" s="29">
        <f t="shared" si="0"/>
        <v>31.087525547706981</v>
      </c>
      <c r="F32" s="37" t="s">
        <v>106</v>
      </c>
      <c r="G32" s="35">
        <v>75</v>
      </c>
      <c r="H32" s="36">
        <v>65</v>
      </c>
      <c r="I32" s="38" t="s">
        <v>107</v>
      </c>
      <c r="J32" s="39">
        <v>1</v>
      </c>
      <c r="K32" s="40"/>
      <c r="L32" s="42" t="s">
        <v>108</v>
      </c>
      <c r="M32" s="18"/>
      <c r="N32" s="3"/>
      <c r="O32" s="3"/>
      <c r="P32" s="16"/>
      <c r="Q32" s="12"/>
      <c r="R32" s="3"/>
      <c r="S32" s="3"/>
      <c r="T32" s="3"/>
    </row>
    <row r="33" spans="1:20" ht="16.8">
      <c r="A33" s="26" t="s">
        <v>109</v>
      </c>
      <c r="B33" s="27">
        <v>66</v>
      </c>
      <c r="C33" s="27">
        <v>1.64</v>
      </c>
      <c r="D33" s="28">
        <v>101</v>
      </c>
      <c r="E33" s="29">
        <f t="shared" si="0"/>
        <v>37.552052349791794</v>
      </c>
      <c r="F33" s="30" t="s">
        <v>110</v>
      </c>
      <c r="G33" s="27">
        <v>72</v>
      </c>
      <c r="H33" s="28">
        <v>91</v>
      </c>
      <c r="I33" s="31" t="s">
        <v>111</v>
      </c>
      <c r="J33" s="32">
        <v>1</v>
      </c>
      <c r="K33" s="33"/>
      <c r="L33" s="34" t="s">
        <v>112</v>
      </c>
      <c r="M33" s="18"/>
      <c r="N33" s="3"/>
      <c r="O33" s="3"/>
      <c r="P33" s="16"/>
      <c r="Q33" s="12"/>
      <c r="R33" s="8"/>
      <c r="S33" s="3"/>
      <c r="T33" s="3"/>
    </row>
    <row r="34" spans="1:20" ht="16.8">
      <c r="A34" s="26" t="s">
        <v>113</v>
      </c>
      <c r="B34" s="35">
        <v>46</v>
      </c>
      <c r="C34" s="35">
        <v>1.82</v>
      </c>
      <c r="D34" s="36">
        <v>102</v>
      </c>
      <c r="E34" s="29">
        <f t="shared" si="0"/>
        <v>30.793382441734089</v>
      </c>
      <c r="F34" s="37" t="s">
        <v>114</v>
      </c>
      <c r="G34" s="35">
        <v>77</v>
      </c>
      <c r="H34" s="36">
        <v>82</v>
      </c>
      <c r="I34" s="38" t="s">
        <v>26</v>
      </c>
      <c r="J34" s="39">
        <v>2</v>
      </c>
      <c r="K34" s="40"/>
      <c r="L34" s="42" t="s">
        <v>115</v>
      </c>
      <c r="M34" s="18"/>
      <c r="N34" s="3"/>
      <c r="O34" s="3"/>
      <c r="P34" s="8"/>
      <c r="Q34" s="8"/>
      <c r="R34" s="3"/>
      <c r="S34" s="3"/>
      <c r="T34" s="3"/>
    </row>
    <row r="35" spans="1:20" ht="16.8">
      <c r="A35" s="26" t="s">
        <v>116</v>
      </c>
      <c r="B35" s="27">
        <v>47</v>
      </c>
      <c r="C35" s="27">
        <v>1.74</v>
      </c>
      <c r="D35" s="44">
        <v>76</v>
      </c>
      <c r="E35" s="29">
        <f t="shared" si="0"/>
        <v>25.102391333069097</v>
      </c>
      <c r="F35" s="30" t="s">
        <v>117</v>
      </c>
      <c r="G35" s="27">
        <v>69</v>
      </c>
      <c r="H35" s="28">
        <v>103</v>
      </c>
      <c r="I35" s="31" t="s">
        <v>118</v>
      </c>
      <c r="J35" s="32">
        <v>2</v>
      </c>
      <c r="K35" s="33"/>
      <c r="L35" s="34" t="s">
        <v>119</v>
      </c>
      <c r="M35" s="18"/>
      <c r="N35" s="3"/>
      <c r="O35" s="3"/>
      <c r="P35" s="3"/>
      <c r="Q35" s="3"/>
      <c r="R35" s="3"/>
      <c r="S35" s="3"/>
      <c r="T35" s="3"/>
    </row>
    <row r="36" spans="1:20" ht="16.8">
      <c r="A36" s="26" t="s">
        <v>120</v>
      </c>
      <c r="B36" s="35">
        <v>33</v>
      </c>
      <c r="C36" s="35">
        <v>1.7</v>
      </c>
      <c r="D36" s="36">
        <v>115</v>
      </c>
      <c r="E36" s="29">
        <f t="shared" si="0"/>
        <v>39.792387543252602</v>
      </c>
      <c r="F36" s="37" t="s">
        <v>121</v>
      </c>
      <c r="G36" s="35">
        <v>93</v>
      </c>
      <c r="H36" s="36">
        <v>95</v>
      </c>
      <c r="I36" s="38" t="s">
        <v>63</v>
      </c>
      <c r="J36" s="39">
        <v>2</v>
      </c>
      <c r="K36" s="40"/>
      <c r="L36" s="42" t="s">
        <v>122</v>
      </c>
      <c r="M36" s="18"/>
      <c r="N36" s="3"/>
      <c r="O36" s="4"/>
      <c r="P36" s="5"/>
      <c r="Q36" s="5"/>
      <c r="R36" s="3"/>
      <c r="S36" s="3"/>
      <c r="T36" s="3"/>
    </row>
    <row r="37" spans="1:20" ht="16.8">
      <c r="A37" s="26" t="s">
        <v>123</v>
      </c>
      <c r="B37" s="27">
        <v>29</v>
      </c>
      <c r="C37" s="27">
        <v>1.7</v>
      </c>
      <c r="D37" s="28">
        <v>82</v>
      </c>
      <c r="E37" s="29">
        <f t="shared" si="0"/>
        <v>28.373702422145332</v>
      </c>
      <c r="F37" s="30" t="s">
        <v>124</v>
      </c>
      <c r="G37" s="27">
        <v>78</v>
      </c>
      <c r="H37" s="28">
        <v>76</v>
      </c>
      <c r="I37" s="31" t="s">
        <v>125</v>
      </c>
      <c r="J37" s="32">
        <v>2</v>
      </c>
      <c r="K37" s="33"/>
      <c r="L37" s="45">
        <v>43988105546</v>
      </c>
      <c r="M37" s="18"/>
      <c r="N37" s="3"/>
      <c r="O37" s="3"/>
      <c r="P37" s="16"/>
      <c r="Q37" s="12"/>
      <c r="R37" s="3"/>
      <c r="S37" s="3"/>
      <c r="T37" s="3"/>
    </row>
    <row r="38" spans="1:20" ht="16.8">
      <c r="A38" s="26" t="s">
        <v>126</v>
      </c>
      <c r="B38" s="35">
        <v>37</v>
      </c>
      <c r="C38" s="35">
        <v>1.59</v>
      </c>
      <c r="D38" s="36">
        <v>80</v>
      </c>
      <c r="E38" s="29">
        <f t="shared" si="0"/>
        <v>31.644317867172973</v>
      </c>
      <c r="F38" s="37" t="s">
        <v>127</v>
      </c>
      <c r="G38" s="35">
        <v>66</v>
      </c>
      <c r="H38" s="36">
        <v>101</v>
      </c>
      <c r="I38" s="38" t="s">
        <v>52</v>
      </c>
      <c r="J38" s="39">
        <v>1</v>
      </c>
      <c r="K38" s="40"/>
      <c r="L38" s="42" t="s">
        <v>128</v>
      </c>
      <c r="M38" s="18"/>
      <c r="N38" s="3"/>
      <c r="O38" s="3"/>
      <c r="P38" s="16"/>
      <c r="Q38" s="12"/>
      <c r="R38" s="3"/>
      <c r="S38" s="3"/>
      <c r="T38" s="3"/>
    </row>
    <row r="39" spans="1:20" ht="16.8">
      <c r="A39" s="26" t="s">
        <v>129</v>
      </c>
      <c r="B39" s="27">
        <v>49</v>
      </c>
      <c r="C39" s="27">
        <v>1.75</v>
      </c>
      <c r="D39" s="28">
        <v>81</v>
      </c>
      <c r="E39" s="29">
        <f t="shared" si="0"/>
        <v>26.448979591836736</v>
      </c>
      <c r="F39" s="30" t="s">
        <v>130</v>
      </c>
      <c r="G39" s="27">
        <v>62</v>
      </c>
      <c r="H39" s="28">
        <v>111</v>
      </c>
      <c r="I39" s="31" t="s">
        <v>26</v>
      </c>
      <c r="J39" s="32">
        <v>2</v>
      </c>
      <c r="K39" s="33"/>
      <c r="L39" s="45">
        <v>43998145117</v>
      </c>
      <c r="M39" s="18"/>
      <c r="N39" s="3"/>
      <c r="O39" s="3"/>
      <c r="P39" s="16"/>
      <c r="Q39" s="12"/>
      <c r="R39" s="3"/>
      <c r="S39" s="3"/>
      <c r="T39" s="3"/>
    </row>
    <row r="40" spans="1:20" ht="16.8">
      <c r="A40" s="26" t="s">
        <v>131</v>
      </c>
      <c r="B40" s="35">
        <v>60</v>
      </c>
      <c r="C40" s="35">
        <v>1.67</v>
      </c>
      <c r="D40" s="36">
        <v>87</v>
      </c>
      <c r="E40" s="29">
        <f t="shared" si="0"/>
        <v>31.1950948402596</v>
      </c>
      <c r="F40" s="37" t="s">
        <v>132</v>
      </c>
      <c r="G40" s="35">
        <v>69</v>
      </c>
      <c r="H40" s="36">
        <v>92</v>
      </c>
      <c r="I40" s="38" t="s">
        <v>35</v>
      </c>
      <c r="J40" s="39">
        <v>2</v>
      </c>
      <c r="K40" s="40"/>
      <c r="L40" s="42" t="s">
        <v>133</v>
      </c>
      <c r="M40" s="18"/>
      <c r="N40" s="3"/>
      <c r="O40" s="3"/>
      <c r="P40" s="3"/>
      <c r="Q40" s="3"/>
      <c r="R40" s="3"/>
      <c r="S40" s="3"/>
      <c r="T40" s="3"/>
    </row>
    <row r="41" spans="1:20" ht="15.75" customHeight="1">
      <c r="M41" s="17"/>
      <c r="N41" s="17"/>
      <c r="O41" s="17"/>
      <c r="P41" s="17"/>
      <c r="Q41" s="17"/>
      <c r="R41" s="17"/>
      <c r="S41" s="17"/>
      <c r="T41" s="17"/>
    </row>
    <row r="42" spans="1:20" ht="15.75" customHeight="1">
      <c r="M42" s="17"/>
      <c r="N42" s="17"/>
      <c r="O42" s="17"/>
      <c r="P42" s="17"/>
      <c r="Q42" s="17"/>
      <c r="R42" s="17"/>
      <c r="S42" s="17"/>
      <c r="T42" s="17"/>
    </row>
  </sheetData>
  <mergeCells count="8">
    <mergeCell ref="O31:Q31"/>
    <mergeCell ref="O36:Q36"/>
    <mergeCell ref="O6:Q6"/>
    <mergeCell ref="O13:Q13"/>
    <mergeCell ref="O17:Q17"/>
    <mergeCell ref="S17:T17"/>
    <mergeCell ref="O24:Q24"/>
    <mergeCell ref="S24:T2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 Scruk Sanches</cp:lastModifiedBy>
  <dcterms:modified xsi:type="dcterms:W3CDTF">2026-02-25T01:54:06Z</dcterms:modified>
</cp:coreProperties>
</file>